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zammilbaig/Documents/GSU STUFF/First yr/Fresh 2nd SEM/BUSA/"/>
    </mc:Choice>
  </mc:AlternateContent>
  <xr:revisionPtr revIDLastSave="0" documentId="13_ncr:1_{A3DCD618-A802-4E4D-A737-FE017A624D6B}" xr6:coauthVersionLast="47" xr6:coauthVersionMax="47" xr10:uidLastSave="{00000000-0000-0000-0000-000000000000}"/>
  <bookViews>
    <workbookView xWindow="0" yWindow="740" windowWidth="30240" windowHeight="18900" xr2:uid="{5392A8D7-205A-0B4D-9389-81CC9FCDFF88}"/>
  </bookViews>
  <sheets>
    <sheet name="Baig_Apple" sheetId="1" r:id="rId1"/>
  </sheets>
  <definedNames>
    <definedName name="_xlnm.Print_Area" localSheetId="0">Baig_Apple!$A$1:$P$39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I16" i="1"/>
  <c r="Q16" i="1"/>
  <c r="H16" i="1"/>
  <c r="R14" i="1"/>
  <c r="R13" i="1"/>
  <c r="R12" i="1"/>
  <c r="R11" i="1"/>
  <c r="R10" i="1"/>
  <c r="R9" i="1"/>
  <c r="R8" i="1"/>
  <c r="R7" i="1"/>
  <c r="R6" i="1"/>
  <c r="R5" i="1"/>
  <c r="R4" i="1"/>
  <c r="R3" i="1"/>
  <c r="I4" i="1"/>
  <c r="I5" i="1"/>
  <c r="I6" i="1"/>
  <c r="I7" i="1"/>
  <c r="I8" i="1"/>
  <c r="I9" i="1"/>
  <c r="I10" i="1"/>
  <c r="I11" i="1"/>
  <c r="I12" i="1"/>
  <c r="I13" i="1"/>
  <c r="I14" i="1"/>
  <c r="I3" i="1"/>
  <c r="H23" i="1"/>
  <c r="H22" i="1"/>
  <c r="H21" i="1"/>
  <c r="Q4" i="1"/>
  <c r="Q5" i="1"/>
  <c r="Q6" i="1"/>
  <c r="Q7" i="1"/>
  <c r="Q8" i="1"/>
  <c r="Q9" i="1"/>
  <c r="Q10" i="1"/>
  <c r="Q11" i="1"/>
  <c r="Q12" i="1"/>
  <c r="Q13" i="1"/>
  <c r="Q14" i="1"/>
  <c r="Q3" i="1"/>
  <c r="H4" i="1"/>
  <c r="H5" i="1"/>
  <c r="H6" i="1"/>
  <c r="H7" i="1"/>
  <c r="H8" i="1"/>
  <c r="H9" i="1"/>
  <c r="H10" i="1"/>
  <c r="H11" i="1"/>
  <c r="H12" i="1"/>
  <c r="H13" i="1"/>
  <c r="H14" i="1"/>
  <c r="H3" i="1"/>
  <c r="O17" i="1"/>
  <c r="N17" i="1"/>
  <c r="M17" i="1"/>
  <c r="L17" i="1"/>
  <c r="K17" i="1"/>
  <c r="P16" i="1"/>
  <c r="G16" i="1"/>
  <c r="F17" i="1"/>
  <c r="E17" i="1"/>
  <c r="D17" i="1"/>
  <c r="C17" i="1"/>
  <c r="B17" i="1"/>
</calcChain>
</file>

<file path=xl/sharedStrings.xml><?xml version="1.0" encoding="utf-8"?>
<sst xmlns="http://schemas.openxmlformats.org/spreadsheetml/2006/main" count="34" uniqueCount="20">
  <si>
    <t>Date</t>
  </si>
  <si>
    <t>Open</t>
  </si>
  <si>
    <t>High</t>
  </si>
  <si>
    <t>Low</t>
  </si>
  <si>
    <t>Close </t>
  </si>
  <si>
    <t>Adj Close </t>
  </si>
  <si>
    <t>2024 Trends for Apple Company</t>
  </si>
  <si>
    <t>Volume(000)</t>
  </si>
  <si>
    <t>Average</t>
  </si>
  <si>
    <t xml:space="preserve">    Total Volume</t>
  </si>
  <si>
    <t xml:space="preserve">2023 Trends for Apple Company </t>
  </si>
  <si>
    <t>Total Volume</t>
  </si>
  <si>
    <t>Monthly Gain/Loss</t>
  </si>
  <si>
    <t>Category</t>
  </si>
  <si>
    <t>Minimal</t>
  </si>
  <si>
    <t>Medium</t>
  </si>
  <si>
    <t>Quartile Range</t>
  </si>
  <si>
    <t>Volume Category</t>
  </si>
  <si>
    <t>Months with Postive Trend</t>
  </si>
  <si>
    <t>Months with High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</si>
</sst>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,"/>
    <numFmt numFmtId="165" formatCode="[$-409]mmm\-yy;@"/>
  </numFmts>
  <fonts count="11">
    <font>
      <sz val="12"/>
      <color theme="1"/>
      <name val="Aptos Narrow"/>
      <family val="2"/>
      <scheme val="minor"/>
    </font>
    <font>
      <b/>
      <sz val="14"/>
      <color theme="1"/>
      <name val="Aptos Narrow (Body)"/>
    </font>
    <font>
      <b/>
      <sz val="9"/>
      <color rgb="FF000000"/>
      <name val="GT America"/>
    </font>
    <font>
      <b/>
      <sz val="12"/>
      <color theme="1"/>
      <name val="Aptos Narrow"/>
      <scheme val="minor"/>
    </font>
    <font>
      <sz val="14"/>
      <color rgb="FFE3E3E3"/>
      <name val="Arial"/>
      <family val="2"/>
    </font>
    <font>
      <b/>
      <sz val="14"/>
      <color rgb="FFE3E3E3"/>
      <name val="Arial"/>
      <family val="2"/>
    </font>
    <font>
      <sz val="12"/>
      <color theme="1"/>
      <name val="Aptos Narrow"/>
      <family val="2"/>
      <scheme val="minor"/>
    </font>
    <font>
      <sz val="14"/>
      <color rgb="FF000000"/>
      <name val="GT America"/>
      <charset val="1"/>
    </font>
    <font>
      <b/>
      <sz val="9"/>
      <color theme="1"/>
      <name val="GT America"/>
    </font>
    <font>
      <sz val="14"/>
      <color theme="1"/>
      <name val="GT America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4">
    <xf numFmtId="0" fontId="0" fillId="0" borderId="0" xfId="0"/>
    <xf numFmtId="8" fontId="0" fillId="0" borderId="0" xfId="0" applyNumberFormat="1"/>
    <xf numFmtId="0" fontId="3" fillId="0" borderId="0" xfId="0" applyFont="1" applyAlignment="1">
      <alignment horizontal="center" vertical="center"/>
    </xf>
    <xf numFmtId="15" fontId="4" fillId="0" borderId="0" xfId="0" applyNumberFormat="1" applyFont="1"/>
    <xf numFmtId="0" fontId="5" fillId="0" borderId="0" xfId="0" applyFont="1"/>
    <xf numFmtId="165" fontId="7" fillId="2" borderId="1" xfId="0" applyNumberFormat="1" applyFont="1" applyFill="1" applyBorder="1"/>
    <xf numFmtId="8" fontId="7" fillId="2" borderId="0" xfId="0" applyNumberFormat="1" applyFont="1" applyFill="1"/>
    <xf numFmtId="165" fontId="7" fillId="2" borderId="3" xfId="0" applyNumberFormat="1" applyFont="1" applyFill="1" applyBorder="1"/>
    <xf numFmtId="8" fontId="7" fillId="2" borderId="4" xfId="0" applyNumberFormat="1" applyFont="1" applyFill="1" applyBorder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44" fontId="9" fillId="0" borderId="9" xfId="1" applyFont="1" applyBorder="1"/>
    <xf numFmtId="164" fontId="9" fillId="0" borderId="10" xfId="0" applyNumberFormat="1" applyFont="1" applyBorder="1"/>
    <xf numFmtId="44" fontId="9" fillId="0" borderId="0" xfId="1" applyFont="1" applyBorder="1"/>
    <xf numFmtId="164" fontId="9" fillId="0" borderId="2" xfId="0" applyNumberFormat="1" applyFont="1" applyBorder="1"/>
    <xf numFmtId="44" fontId="9" fillId="0" borderId="4" xfId="1" applyFont="1" applyBorder="1"/>
    <xf numFmtId="164" fontId="9" fillId="0" borderId="5" xfId="0" applyNumberFormat="1" applyFont="1" applyBorder="1"/>
    <xf numFmtId="0" fontId="0" fillId="0" borderId="15" xfId="0" applyBorder="1"/>
    <xf numFmtId="0" fontId="0" fillId="0" borderId="17" xfId="0" applyBorder="1"/>
    <xf numFmtId="0" fontId="3" fillId="0" borderId="18" xfId="0" applyFont="1" applyBorder="1"/>
    <xf numFmtId="0" fontId="3" fillId="0" borderId="19" xfId="0" applyFont="1" applyBorder="1"/>
    <xf numFmtId="4" fontId="0" fillId="0" borderId="14" xfId="0" applyNumberFormat="1" applyBorder="1"/>
    <xf numFmtId="4" fontId="0" fillId="0" borderId="16" xfId="0" applyNumberFormat="1" applyBorder="1"/>
    <xf numFmtId="0" fontId="3" fillId="0" borderId="8" xfId="0" applyFont="1" applyBorder="1" applyAlignment="1">
      <alignment horizontal="center" vertical="center"/>
    </xf>
    <xf numFmtId="3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3" fillId="0" borderId="9" xfId="0" applyFont="1" applyBorder="1"/>
    <xf numFmtId="0" fontId="3" fillId="0" borderId="10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8" xfId="0" applyFont="1" applyBorder="1"/>
    <xf numFmtId="0" fontId="2" fillId="2" borderId="8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0" xfId="0" applyFont="1" applyBorder="1"/>
    <xf numFmtId="0" fontId="3" fillId="0" borderId="2" xfId="0" applyFont="1" applyBorder="1"/>
    <xf numFmtId="0" fontId="0" fillId="0" borderId="20" xfId="0" applyBorder="1" applyAlignment="1">
      <alignment horizontal="center"/>
    </xf>
    <xf numFmtId="164" fontId="7" fillId="2" borderId="0" xfId="0" applyNumberFormat="1" applyFont="1" applyFill="1" applyBorder="1"/>
    <xf numFmtId="0" fontId="1" fillId="0" borderId="12" xfId="0" applyFont="1" applyBorder="1" applyAlignment="1">
      <alignment horizontal="center"/>
    </xf>
    <xf numFmtId="165" fontId="9" fillId="0" borderId="9" xfId="0" applyNumberFormat="1" applyFont="1" applyBorder="1"/>
    <xf numFmtId="165" fontId="9" fillId="0" borderId="0" xfId="0" applyNumberFormat="1" applyFont="1" applyBorder="1"/>
    <xf numFmtId="165" fontId="9" fillId="0" borderId="4" xfId="0" applyNumberFormat="1" applyFont="1" applyBorder="1"/>
    <xf numFmtId="0" fontId="0" fillId="0" borderId="21" xfId="0" applyBorder="1"/>
    <xf numFmtId="0" fontId="0" fillId="0" borderId="22" xfId="0" applyBorder="1"/>
    <xf numFmtId="0" fontId="0" fillId="0" borderId="14" xfId="0" applyBorder="1"/>
    <xf numFmtId="0" fontId="0" fillId="0" borderId="16" xfId="0" applyBorder="1"/>
    <xf numFmtId="0" fontId="2" fillId="2" borderId="23" xfId="0" applyFont="1" applyFill="1" applyBorder="1" applyAlignment="1">
      <alignment horizontal="center"/>
    </xf>
    <xf numFmtId="0" fontId="3" fillId="0" borderId="24" xfId="0" applyFont="1" applyBorder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Yearly Comparison for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2024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Baig_Apple!$B$2:$F$2</c:f>
              <c:strCache>
                <c:ptCount val="5"/>
                <c:pt idx="0">
                  <c:v>Open</c:v>
                </c:pt>
                <c:pt idx="1">
                  <c:v>High</c:v>
                </c:pt>
                <c:pt idx="2">
                  <c:v>Low</c:v>
                </c:pt>
                <c:pt idx="3">
                  <c:v>Close </c:v>
                </c:pt>
                <c:pt idx="4">
                  <c:v>Adj Close </c:v>
                </c:pt>
              </c:strCache>
            </c:strRef>
          </c:cat>
          <c:val>
            <c:numRef>
              <c:f>Baig_Apple!$B$17:$F$17</c:f>
              <c:numCache>
                <c:formatCode>"$"#,##0.00_);[Red]\("$"#,##0.00\)</c:formatCode>
                <c:ptCount val="5"/>
                <c:pt idx="0">
                  <c:v>203.09416666666667</c:v>
                </c:pt>
                <c:pt idx="1">
                  <c:v>216.51333333333332</c:v>
                </c:pt>
                <c:pt idx="2">
                  <c:v>196.10749999999999</c:v>
                </c:pt>
                <c:pt idx="3">
                  <c:v>208.96416666666667</c:v>
                </c:pt>
                <c:pt idx="4">
                  <c:v>207.52833333333334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2-B84F-B136-2950923E63F7}"/>
            </c:ext>
          </c:extLst>
        </c:ser>
        <c:ser>
          <c:idx val="1"/>
          <c:order val="1"/>
          <c:tx>
            <c:v>2023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Baig_Apple!$B$2:$F$2</c:f>
              <c:strCache>
                <c:ptCount val="5"/>
                <c:pt idx="0">
                  <c:v>Open</c:v>
                </c:pt>
                <c:pt idx="1">
                  <c:v>High</c:v>
                </c:pt>
                <c:pt idx="2">
                  <c:v>Low</c:v>
                </c:pt>
                <c:pt idx="3">
                  <c:v>Close </c:v>
                </c:pt>
                <c:pt idx="4">
                  <c:v>Adj Close </c:v>
                </c:pt>
              </c:strCache>
            </c:strRef>
          </c:cat>
          <c:val>
            <c:numRef>
              <c:f>Baig_Apple!$K$17:$O$17</c:f>
              <c:numCache>
                <c:formatCode>"$"#,##0.00_);[Red]\("$"#,##0.00\)</c:formatCode>
                <c:ptCount val="5"/>
                <c:pt idx="0">
                  <c:v>170.36583333333331</c:v>
                </c:pt>
                <c:pt idx="1">
                  <c:v>181.09333333333333</c:v>
                </c:pt>
                <c:pt idx="2">
                  <c:v>163.31916666666669</c:v>
                </c:pt>
                <c:pt idx="3">
                  <c:v>175.52333333333334</c:v>
                </c:pt>
                <c:pt idx="4">
                  <c:v>173.22916666666671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52-B84F-B136-2950923E6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2090687"/>
        <c:axId val="1491770831"/>
      </c:barChart>
      <c:catAx>
        <c:axId val="1492090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770831"/>
        <c:crosses val="autoZero"/>
        <c:auto val="1"/>
        <c:lblAlgn val="ctr"/>
        <c:lblOffset val="100"/>
        <c:noMultiLvlLbl val="0"/>
      </c:catAx>
      <c:valAx>
        <c:axId val="149177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in U.S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9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Volume for Apple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6689657384384"/>
          <c:y val="0.20092692185714886"/>
          <c:w val="0.80173312406481079"/>
          <c:h val="0.6393697485413411"/>
        </c:manualLayout>
      </c:layout>
      <c:lineChart>
        <c:grouping val="standard"/>
        <c:varyColors val="0"/>
        <c:ser>
          <c:idx val="0"/>
          <c:order val="0"/>
          <c:tx>
            <c:v>2024 Volume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Baig_Apple!$A$3:$A$14</c:f>
              <c:numCache>
                <c:formatCode>[$-409]mmm\-yy;@</c:formatCode>
                <c:ptCount val="12"/>
                <c:pt idx="0">
                  <c:v>45315</c:v>
                </c:pt>
                <c:pt idx="1">
                  <c:v>45346</c:v>
                </c:pt>
                <c:pt idx="2">
                  <c:v>45375</c:v>
                </c:pt>
                <c:pt idx="3">
                  <c:v>45406</c:v>
                </c:pt>
                <c:pt idx="4">
                  <c:v>45436</c:v>
                </c:pt>
                <c:pt idx="5">
                  <c:v>45467</c:v>
                </c:pt>
                <c:pt idx="6">
                  <c:v>45497</c:v>
                </c:pt>
                <c:pt idx="7">
                  <c:v>45528</c:v>
                </c:pt>
                <c:pt idx="8">
                  <c:v>45559</c:v>
                </c:pt>
                <c:pt idx="9">
                  <c:v>45589</c:v>
                </c:pt>
                <c:pt idx="10">
                  <c:v>45620</c:v>
                </c:pt>
                <c:pt idx="11">
                  <c:v>45650</c:v>
                </c:pt>
              </c:numCache>
            </c:numRef>
          </c:cat>
          <c:val>
            <c:numRef>
              <c:f>Baig_Apple!$G$3:$G$14</c:f>
              <c:numCache>
                <c:formatCode>0,</c:formatCode>
                <c:ptCount val="12"/>
                <c:pt idx="0">
                  <c:v>1187490800</c:v>
                </c:pt>
                <c:pt idx="1">
                  <c:v>1161553500</c:v>
                </c:pt>
                <c:pt idx="2">
                  <c:v>1433151800</c:v>
                </c:pt>
                <c:pt idx="3">
                  <c:v>1246144100</c:v>
                </c:pt>
                <c:pt idx="4">
                  <c:v>1336511300</c:v>
                </c:pt>
                <c:pt idx="5">
                  <c:v>1717952100</c:v>
                </c:pt>
                <c:pt idx="6">
                  <c:v>1153099800</c:v>
                </c:pt>
                <c:pt idx="7">
                  <c:v>1122667000</c:v>
                </c:pt>
                <c:pt idx="8">
                  <c:v>1232097700</c:v>
                </c:pt>
                <c:pt idx="9">
                  <c:v>930736000</c:v>
                </c:pt>
                <c:pt idx="10">
                  <c:v>891588300</c:v>
                </c:pt>
                <c:pt idx="11">
                  <c:v>977916100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EB-8F44-BD1F-677908474908}"/>
            </c:ext>
          </c:extLst>
        </c:ser>
        <c:ser>
          <c:idx val="1"/>
          <c:order val="1"/>
          <c:tx>
            <c:v>2023 Volume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Baig_Apple!$A$3:$A$14</c:f>
              <c:numCache>
                <c:formatCode>[$-409]mmm\-yy;@</c:formatCode>
                <c:ptCount val="12"/>
                <c:pt idx="0">
                  <c:v>45315</c:v>
                </c:pt>
                <c:pt idx="1">
                  <c:v>45346</c:v>
                </c:pt>
                <c:pt idx="2">
                  <c:v>45375</c:v>
                </c:pt>
                <c:pt idx="3">
                  <c:v>45406</c:v>
                </c:pt>
                <c:pt idx="4">
                  <c:v>45436</c:v>
                </c:pt>
                <c:pt idx="5">
                  <c:v>45467</c:v>
                </c:pt>
                <c:pt idx="6">
                  <c:v>45497</c:v>
                </c:pt>
                <c:pt idx="7">
                  <c:v>45528</c:v>
                </c:pt>
                <c:pt idx="8">
                  <c:v>45559</c:v>
                </c:pt>
                <c:pt idx="9">
                  <c:v>45589</c:v>
                </c:pt>
                <c:pt idx="10">
                  <c:v>45620</c:v>
                </c:pt>
                <c:pt idx="11">
                  <c:v>45650</c:v>
                </c:pt>
              </c:numCache>
            </c:numRef>
          </c:cat>
          <c:val>
            <c:numRef>
              <c:f>Baig_Apple!$P$3:$P$14</c:f>
              <c:numCache>
                <c:formatCode>0,</c:formatCode>
                <c:ptCount val="12"/>
                <c:pt idx="0">
                  <c:v>1443652500</c:v>
                </c:pt>
                <c:pt idx="1">
                  <c:v>1307198900</c:v>
                </c:pt>
                <c:pt idx="2">
                  <c:v>1520266600</c:v>
                </c:pt>
                <c:pt idx="3">
                  <c:v>969776400</c:v>
                </c:pt>
                <c:pt idx="4">
                  <c:v>1275364700</c:v>
                </c:pt>
                <c:pt idx="5">
                  <c:v>1297383300</c:v>
                </c:pt>
                <c:pt idx="6">
                  <c:v>996114000</c:v>
                </c:pt>
                <c:pt idx="7">
                  <c:v>1322657800</c:v>
                </c:pt>
                <c:pt idx="8">
                  <c:v>1337823000</c:v>
                </c:pt>
                <c:pt idx="9">
                  <c:v>1172816900</c:v>
                </c:pt>
                <c:pt idx="10">
                  <c:v>1099651600</c:v>
                </c:pt>
                <c:pt idx="11">
                  <c:v>1063181200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EB-8F44-BD1F-677908474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020703"/>
        <c:axId val="1715039775"/>
      </c:lineChart>
      <c:dateAx>
        <c:axId val="171502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7349571399286849"/>
              <c:y val="0.91013008524605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039775"/>
        <c:crosses val="autoZero"/>
        <c:auto val="1"/>
        <c:lblOffset val="100"/>
        <c:baseTimeUnit val="months"/>
      </c:dateAx>
      <c:valAx>
        <c:axId val="171503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02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16678</xdr:colOff>
      <xdr:row>19</xdr:row>
      <xdr:rowOff>110067</xdr:rowOff>
    </xdr:from>
    <xdr:to>
      <xdr:col>6</xdr:col>
      <xdr:colOff>282222</xdr:colOff>
      <xdr:row>36</xdr:row>
      <xdr:rowOff>179596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E40B13-4D65-3FA4-5430-E25E4E1BD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243737</xdr:colOff>
      <xdr:row>18</xdr:row>
      <xdr:rowOff>115453</xdr:rowOff>
    </xdr:from>
    <xdr:to>
      <xdr:col>15</xdr:col>
      <xdr:colOff>372020</xdr:colOff>
      <xdr:row>38</xdr:row>
      <xdr:rowOff>141110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202CE6-F7FC-8B1A-5D5D-2E743E0BA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FA28-59A8-B848-8AAB-E5C1C6065F32}">
  <sheetPr>
    <pageSetUpPr fitToPage="1"/>
  </sheetPr>
  <dimension ref="A1:R23"/>
  <sheetViews>
    <sheetView tabSelected="1" zoomScale="74" workbookViewId="0">
      <selection activeCell="H37" sqref="H37"/>
    </sheetView>
  </sheetViews>
  <sheetFormatPr baseColWidth="10" defaultRowHeight="16"/>
  <cols>
    <col min="1" max="7" width="14.5" customWidth="1"/>
    <col min="8" max="8" width="22.5" bestFit="1" customWidth="1"/>
    <col min="9" max="9" width="21.83203125" bestFit="1" customWidth="1"/>
    <col min="10" max="10" width="12.5" bestFit="1" customWidth="1"/>
    <col min="11" max="15" width="11.6640625" bestFit="1" customWidth="1"/>
    <col min="16" max="16" width="16.83203125" bestFit="1" customWidth="1"/>
    <col min="17" max="17" width="22.5" bestFit="1" customWidth="1"/>
    <col min="18" max="18" width="21.83203125" bestFit="1" customWidth="1"/>
  </cols>
  <sheetData>
    <row r="1" spans="1:18" ht="20" thickBot="1">
      <c r="A1" s="36" t="s">
        <v>6</v>
      </c>
      <c r="B1" s="37"/>
      <c r="C1" s="37"/>
      <c r="D1" s="37"/>
      <c r="E1" s="37"/>
      <c r="F1" s="37"/>
      <c r="G1" s="42"/>
      <c r="H1" s="48"/>
      <c r="I1" s="49"/>
      <c r="J1" s="44" t="s">
        <v>10</v>
      </c>
      <c r="K1" s="38"/>
      <c r="L1" s="38"/>
      <c r="M1" s="38"/>
      <c r="N1" s="38"/>
      <c r="O1" s="38"/>
      <c r="P1" s="39"/>
    </row>
    <row r="2" spans="1:18" ht="17" thickBot="1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7</v>
      </c>
      <c r="H2" s="52" t="s">
        <v>12</v>
      </c>
      <c r="I2" s="53" t="s">
        <v>17</v>
      </c>
      <c r="J2" s="11" t="s">
        <v>0</v>
      </c>
      <c r="K2" s="11" t="s">
        <v>1</v>
      </c>
      <c r="L2" s="11" t="s">
        <v>2</v>
      </c>
      <c r="M2" s="11" t="s">
        <v>3</v>
      </c>
      <c r="N2" s="11" t="s">
        <v>4</v>
      </c>
      <c r="O2" s="11" t="s">
        <v>5</v>
      </c>
      <c r="P2" s="12" t="s">
        <v>7</v>
      </c>
      <c r="Q2" s="35" t="s">
        <v>12</v>
      </c>
      <c r="R2" s="30" t="s">
        <v>17</v>
      </c>
    </row>
    <row r="3" spans="1:18" ht="18">
      <c r="A3" s="5">
        <v>45315</v>
      </c>
      <c r="B3" s="6">
        <v>187.15</v>
      </c>
      <c r="C3" s="6">
        <v>196.38</v>
      </c>
      <c r="D3" s="6">
        <v>180.17</v>
      </c>
      <c r="E3" s="6">
        <v>184.4</v>
      </c>
      <c r="F3" s="6">
        <v>182.67</v>
      </c>
      <c r="G3" s="43">
        <v>1187490800</v>
      </c>
      <c r="H3" s="50" t="str">
        <f>IF(E3-B3&gt;0,"Gain","Loss")</f>
        <v>Loss</v>
      </c>
      <c r="I3" s="19" t="str">
        <f>VLOOKUP(G3,$H$20:$I$23,2)</f>
        <v>Medium</v>
      </c>
      <c r="J3" s="45">
        <v>44927</v>
      </c>
      <c r="K3" s="13">
        <v>130.28</v>
      </c>
      <c r="L3" s="13">
        <v>147.22999999999999</v>
      </c>
      <c r="M3" s="13">
        <v>124.17</v>
      </c>
      <c r="N3" s="13">
        <v>144.29</v>
      </c>
      <c r="O3" s="13">
        <v>142.01</v>
      </c>
      <c r="P3" s="14">
        <v>1443652500</v>
      </c>
      <c r="Q3" s="31" t="str">
        <f>IF(N3-K3&gt;0,"Gain","Loss")</f>
        <v>Gain</v>
      </c>
      <c r="R3" s="32" t="str">
        <f>VLOOKUP(P3,$H$20:$I$23,2)</f>
        <v>Medium</v>
      </c>
    </row>
    <row r="4" spans="1:18" ht="18">
      <c r="A4" s="5">
        <v>45346</v>
      </c>
      <c r="B4" s="6">
        <v>183.99</v>
      </c>
      <c r="C4" s="6">
        <v>191.05</v>
      </c>
      <c r="D4" s="6">
        <v>179.25</v>
      </c>
      <c r="E4" s="6">
        <v>180.75</v>
      </c>
      <c r="F4" s="6">
        <v>179.06</v>
      </c>
      <c r="G4" s="43">
        <v>1161553500</v>
      </c>
      <c r="H4" s="50" t="str">
        <f t="shared" ref="H4:H14" si="0">IF(E4-B4&gt;0,"Gain","Loss")</f>
        <v>Loss</v>
      </c>
      <c r="I4" s="19" t="str">
        <f t="shared" ref="I4:I14" si="1">VLOOKUP(G4,$H$20:$I$23,2)</f>
        <v>Minimal</v>
      </c>
      <c r="J4" s="46">
        <v>44958</v>
      </c>
      <c r="K4" s="15">
        <v>143.97</v>
      </c>
      <c r="L4" s="15">
        <v>157.38</v>
      </c>
      <c r="M4" s="15">
        <v>141.32</v>
      </c>
      <c r="N4" s="15">
        <v>147.41</v>
      </c>
      <c r="O4" s="15">
        <v>145.08000000000001</v>
      </c>
      <c r="P4" s="16">
        <v>1307198900</v>
      </c>
      <c r="Q4" s="31" t="str">
        <f t="shared" ref="Q4:Q14" si="2">IF(N4-K4&gt;0,"Gain","Loss")</f>
        <v>Gain</v>
      </c>
      <c r="R4" s="32" t="str">
        <f t="shared" ref="R4:R14" si="3">VLOOKUP(P4,$H$20:$I$23,2)</f>
        <v>Medium</v>
      </c>
    </row>
    <row r="5" spans="1:18" ht="18">
      <c r="A5" s="5">
        <v>45375</v>
      </c>
      <c r="B5" s="6">
        <v>179.55</v>
      </c>
      <c r="C5" s="6">
        <v>180.53</v>
      </c>
      <c r="D5" s="6">
        <v>168.49</v>
      </c>
      <c r="E5" s="6">
        <v>171.48</v>
      </c>
      <c r="F5" s="6">
        <v>170.09</v>
      </c>
      <c r="G5" s="43">
        <v>1433151800</v>
      </c>
      <c r="H5" s="50" t="str">
        <f t="shared" si="0"/>
        <v>Loss</v>
      </c>
      <c r="I5" s="19" t="str">
        <f t="shared" si="1"/>
        <v>Medium</v>
      </c>
      <c r="J5" s="46">
        <v>44986</v>
      </c>
      <c r="K5" s="15">
        <v>146.83000000000001</v>
      </c>
      <c r="L5" s="15">
        <v>165</v>
      </c>
      <c r="M5" s="15">
        <v>143.9</v>
      </c>
      <c r="N5" s="15">
        <v>164.9</v>
      </c>
      <c r="O5" s="15">
        <v>162.55000000000001</v>
      </c>
      <c r="P5" s="16">
        <v>1520266600</v>
      </c>
      <c r="Q5" s="31" t="str">
        <f t="shared" si="2"/>
        <v>Gain</v>
      </c>
      <c r="R5" s="32" t="str">
        <f t="shared" si="3"/>
        <v>Medium</v>
      </c>
    </row>
    <row r="6" spans="1:18" ht="18">
      <c r="A6" s="5">
        <v>45406</v>
      </c>
      <c r="B6" s="6">
        <v>171.19</v>
      </c>
      <c r="C6" s="6">
        <v>178.36</v>
      </c>
      <c r="D6" s="6">
        <v>164.08</v>
      </c>
      <c r="E6" s="6">
        <v>170.33</v>
      </c>
      <c r="F6" s="6">
        <v>168.95</v>
      </c>
      <c r="G6" s="43">
        <v>1246144100</v>
      </c>
      <c r="H6" s="50" t="str">
        <f t="shared" si="0"/>
        <v>Loss</v>
      </c>
      <c r="I6" s="19" t="str">
        <f t="shared" si="1"/>
        <v>Medium</v>
      </c>
      <c r="J6" s="46">
        <v>45017</v>
      </c>
      <c r="K6" s="15">
        <v>164.27</v>
      </c>
      <c r="L6" s="15">
        <v>169.85</v>
      </c>
      <c r="M6" s="15">
        <v>159.78</v>
      </c>
      <c r="N6" s="15">
        <v>169.68</v>
      </c>
      <c r="O6" s="15">
        <v>167.26</v>
      </c>
      <c r="P6" s="16">
        <v>969776400</v>
      </c>
      <c r="Q6" s="31" t="str">
        <f t="shared" si="2"/>
        <v>Gain</v>
      </c>
      <c r="R6" s="32" t="str">
        <f t="shared" si="3"/>
        <v>Low</v>
      </c>
    </row>
    <row r="7" spans="1:18" ht="18">
      <c r="A7" s="5">
        <v>45436</v>
      </c>
      <c r="B7" s="6">
        <v>169.58</v>
      </c>
      <c r="C7" s="6">
        <v>193</v>
      </c>
      <c r="D7" s="6">
        <v>169.11</v>
      </c>
      <c r="E7" s="6">
        <v>192.25</v>
      </c>
      <c r="F7" s="6">
        <v>190.69</v>
      </c>
      <c r="G7" s="43">
        <v>1336511300</v>
      </c>
      <c r="H7" s="50" t="str">
        <f t="shared" si="0"/>
        <v>Gain</v>
      </c>
      <c r="I7" s="19" t="str">
        <f t="shared" si="1"/>
        <v>Medium</v>
      </c>
      <c r="J7" s="46">
        <v>45047</v>
      </c>
      <c r="K7" s="15">
        <v>169.28</v>
      </c>
      <c r="L7" s="15">
        <v>179.35</v>
      </c>
      <c r="M7" s="15">
        <v>164.31</v>
      </c>
      <c r="N7" s="15">
        <v>177.25</v>
      </c>
      <c r="O7" s="15">
        <v>174.72</v>
      </c>
      <c r="P7" s="16">
        <v>1275364700</v>
      </c>
      <c r="Q7" s="31" t="str">
        <f t="shared" si="2"/>
        <v>Gain</v>
      </c>
      <c r="R7" s="32" t="str">
        <f t="shared" si="3"/>
        <v>Medium</v>
      </c>
    </row>
    <row r="8" spans="1:18" ht="18">
      <c r="A8" s="5">
        <v>45467</v>
      </c>
      <c r="B8" s="6">
        <v>192.9</v>
      </c>
      <c r="C8" s="6">
        <v>220.2</v>
      </c>
      <c r="D8" s="6">
        <v>192.15</v>
      </c>
      <c r="E8" s="6">
        <v>210.62</v>
      </c>
      <c r="F8" s="6">
        <v>209.2</v>
      </c>
      <c r="G8" s="43">
        <v>1717952100</v>
      </c>
      <c r="H8" s="50" t="str">
        <f t="shared" si="0"/>
        <v>Gain</v>
      </c>
      <c r="I8" s="19" t="str">
        <f t="shared" si="1"/>
        <v>High</v>
      </c>
      <c r="J8" s="46">
        <v>45078</v>
      </c>
      <c r="K8" s="15">
        <v>177.7</v>
      </c>
      <c r="L8" s="15">
        <v>194.48</v>
      </c>
      <c r="M8" s="15">
        <v>176.93</v>
      </c>
      <c r="N8" s="15">
        <v>193.97</v>
      </c>
      <c r="O8" s="15">
        <v>191.46</v>
      </c>
      <c r="P8" s="16">
        <v>1297383300</v>
      </c>
      <c r="Q8" s="31" t="str">
        <f t="shared" si="2"/>
        <v>Gain</v>
      </c>
      <c r="R8" s="32" t="str">
        <f t="shared" si="3"/>
        <v>Medium</v>
      </c>
    </row>
    <row r="9" spans="1:18" ht="18">
      <c r="A9" s="5">
        <v>45497</v>
      </c>
      <c r="B9" s="6">
        <v>212.09</v>
      </c>
      <c r="C9" s="6">
        <v>237.23</v>
      </c>
      <c r="D9" s="6">
        <v>211.92</v>
      </c>
      <c r="E9" s="6">
        <v>222.08</v>
      </c>
      <c r="F9" s="6">
        <v>220.58</v>
      </c>
      <c r="G9" s="43">
        <v>1153099800</v>
      </c>
      <c r="H9" s="50" t="str">
        <f t="shared" si="0"/>
        <v>Gain</v>
      </c>
      <c r="I9" s="19" t="str">
        <f t="shared" si="1"/>
        <v>Minimal</v>
      </c>
      <c r="J9" s="46">
        <v>45108</v>
      </c>
      <c r="K9" s="15">
        <v>193.78</v>
      </c>
      <c r="L9" s="15">
        <v>198.23</v>
      </c>
      <c r="M9" s="15">
        <v>186.6</v>
      </c>
      <c r="N9" s="15">
        <v>196.45</v>
      </c>
      <c r="O9" s="15">
        <v>193.91</v>
      </c>
      <c r="P9" s="16">
        <v>996114000</v>
      </c>
      <c r="Q9" s="31" t="str">
        <f t="shared" si="2"/>
        <v>Gain</v>
      </c>
      <c r="R9" s="32" t="str">
        <f t="shared" si="3"/>
        <v>Low</v>
      </c>
    </row>
    <row r="10" spans="1:18" ht="18">
      <c r="A10" s="5">
        <v>45528</v>
      </c>
      <c r="B10" s="6">
        <v>224.37</v>
      </c>
      <c r="C10" s="6">
        <v>232.92</v>
      </c>
      <c r="D10" s="6">
        <v>196</v>
      </c>
      <c r="E10" s="6">
        <v>229</v>
      </c>
      <c r="F10" s="6">
        <v>227.46</v>
      </c>
      <c r="G10" s="43">
        <v>1122667000</v>
      </c>
      <c r="H10" s="50" t="str">
        <f t="shared" si="0"/>
        <v>Gain</v>
      </c>
      <c r="I10" s="19" t="str">
        <f t="shared" si="1"/>
        <v>Minimal</v>
      </c>
      <c r="J10" s="46">
        <v>45139</v>
      </c>
      <c r="K10" s="15">
        <v>196.24</v>
      </c>
      <c r="L10" s="15">
        <v>196.73</v>
      </c>
      <c r="M10" s="15">
        <v>171.96</v>
      </c>
      <c r="N10" s="15">
        <v>187.87</v>
      </c>
      <c r="O10" s="15">
        <v>185.44</v>
      </c>
      <c r="P10" s="16">
        <v>1322657800</v>
      </c>
      <c r="Q10" s="31" t="str">
        <f t="shared" si="2"/>
        <v>Loss</v>
      </c>
      <c r="R10" s="32" t="str">
        <f t="shared" si="3"/>
        <v>Medium</v>
      </c>
    </row>
    <row r="11" spans="1:18" ht="18">
      <c r="A11" s="5">
        <v>45559</v>
      </c>
      <c r="B11" s="6">
        <v>228.55</v>
      </c>
      <c r="C11" s="6">
        <v>233.09</v>
      </c>
      <c r="D11" s="6">
        <v>213.92</v>
      </c>
      <c r="E11" s="6">
        <v>233</v>
      </c>
      <c r="F11" s="6">
        <v>231.7</v>
      </c>
      <c r="G11" s="43">
        <v>1232097700</v>
      </c>
      <c r="H11" s="50" t="str">
        <f t="shared" si="0"/>
        <v>Gain</v>
      </c>
      <c r="I11" s="19" t="str">
        <f t="shared" si="1"/>
        <v>Medium</v>
      </c>
      <c r="J11" s="46">
        <v>45170</v>
      </c>
      <c r="K11" s="15">
        <v>189.49</v>
      </c>
      <c r="L11" s="15">
        <v>189.98</v>
      </c>
      <c r="M11" s="15">
        <v>167.62</v>
      </c>
      <c r="N11" s="15">
        <v>171.21</v>
      </c>
      <c r="O11" s="15">
        <v>169.23</v>
      </c>
      <c r="P11" s="16">
        <v>1337823000</v>
      </c>
      <c r="Q11" s="31" t="str">
        <f t="shared" si="2"/>
        <v>Loss</v>
      </c>
      <c r="R11" s="32" t="str">
        <f t="shared" si="3"/>
        <v>Medium</v>
      </c>
    </row>
    <row r="12" spans="1:18" ht="18">
      <c r="A12" s="5">
        <v>45589</v>
      </c>
      <c r="B12" s="6">
        <v>229.52</v>
      </c>
      <c r="C12" s="6">
        <v>237.49</v>
      </c>
      <c r="D12" s="6">
        <v>221.33</v>
      </c>
      <c r="E12" s="6">
        <v>225.91</v>
      </c>
      <c r="F12" s="6">
        <v>224.65</v>
      </c>
      <c r="G12" s="43">
        <v>930736000</v>
      </c>
      <c r="H12" s="50" t="str">
        <f t="shared" si="0"/>
        <v>Loss</v>
      </c>
      <c r="I12" s="19" t="str">
        <f t="shared" si="1"/>
        <v>Low</v>
      </c>
      <c r="J12" s="46">
        <v>45200</v>
      </c>
      <c r="K12" s="15">
        <v>171.22</v>
      </c>
      <c r="L12" s="15">
        <v>182.34</v>
      </c>
      <c r="M12" s="15">
        <v>165.67</v>
      </c>
      <c r="N12" s="15">
        <v>170.77</v>
      </c>
      <c r="O12" s="15">
        <v>168.79</v>
      </c>
      <c r="P12" s="16">
        <v>1172816900</v>
      </c>
      <c r="Q12" s="31" t="str">
        <f t="shared" si="2"/>
        <v>Loss</v>
      </c>
      <c r="R12" s="32" t="str">
        <f t="shared" si="3"/>
        <v>Minimal</v>
      </c>
    </row>
    <row r="13" spans="1:18" ht="18">
      <c r="A13" s="5">
        <v>45620</v>
      </c>
      <c r="B13" s="6">
        <v>220.97</v>
      </c>
      <c r="C13" s="6">
        <v>237.81</v>
      </c>
      <c r="D13" s="6">
        <v>219.71</v>
      </c>
      <c r="E13" s="6">
        <v>237.33</v>
      </c>
      <c r="F13" s="6">
        <v>236</v>
      </c>
      <c r="G13" s="43">
        <v>891588300</v>
      </c>
      <c r="H13" s="50" t="str">
        <f t="shared" si="0"/>
        <v>Gain</v>
      </c>
      <c r="I13" s="19" t="str">
        <f t="shared" si="1"/>
        <v>Low</v>
      </c>
      <c r="J13" s="46">
        <v>45231</v>
      </c>
      <c r="K13" s="15">
        <v>171</v>
      </c>
      <c r="L13" s="15">
        <v>192.93</v>
      </c>
      <c r="M13" s="15">
        <v>170.12</v>
      </c>
      <c r="N13" s="15">
        <v>189.95</v>
      </c>
      <c r="O13" s="15">
        <v>187.75</v>
      </c>
      <c r="P13" s="16">
        <v>1099651600</v>
      </c>
      <c r="Q13" s="31" t="str">
        <f t="shared" si="2"/>
        <v>Gain</v>
      </c>
      <c r="R13" s="32" t="str">
        <f t="shared" si="3"/>
        <v>Minimal</v>
      </c>
    </row>
    <row r="14" spans="1:18" ht="19" thickBot="1">
      <c r="A14" s="7">
        <v>45650</v>
      </c>
      <c r="B14" s="8">
        <v>237.27</v>
      </c>
      <c r="C14" s="8">
        <v>260.10000000000002</v>
      </c>
      <c r="D14" s="8">
        <v>237.16</v>
      </c>
      <c r="E14" s="8">
        <v>250.42</v>
      </c>
      <c r="F14" s="8">
        <v>249.29</v>
      </c>
      <c r="G14" s="43">
        <v>977916100</v>
      </c>
      <c r="H14" s="51" t="str">
        <f t="shared" si="0"/>
        <v>Gain</v>
      </c>
      <c r="I14" s="20" t="str">
        <f t="shared" si="1"/>
        <v>Low</v>
      </c>
      <c r="J14" s="47">
        <v>45261</v>
      </c>
      <c r="K14" s="17">
        <v>190.33</v>
      </c>
      <c r="L14" s="17">
        <v>199.62</v>
      </c>
      <c r="M14" s="17">
        <v>187.45</v>
      </c>
      <c r="N14" s="17">
        <v>192.53</v>
      </c>
      <c r="O14" s="17">
        <v>190.55</v>
      </c>
      <c r="P14" s="18">
        <v>1063181200</v>
      </c>
      <c r="Q14" s="33" t="str">
        <f t="shared" si="2"/>
        <v>Gain</v>
      </c>
      <c r="R14" s="28" t="str">
        <f t="shared" si="3"/>
        <v>Low</v>
      </c>
    </row>
    <row r="15" spans="1:18">
      <c r="G15" s="25" t="s">
        <v>9</v>
      </c>
      <c r="H15" s="40" t="s">
        <v>18</v>
      </c>
      <c r="I15" s="41" t="s">
        <v>19</v>
      </c>
      <c r="P15" s="34" t="s">
        <v>11</v>
      </c>
      <c r="Q15" s="29" t="s">
        <v>18</v>
      </c>
      <c r="R15" s="30" t="s">
        <v>19</v>
      </c>
    </row>
    <row r="16" spans="1:18" ht="19" thickBot="1">
      <c r="G16" s="26">
        <f>SUM(G3:G14)</f>
        <v>14390908500</v>
      </c>
      <c r="H16" s="27">
        <f>COUNTIF(H3:H14,"Gain")</f>
        <v>7</v>
      </c>
      <c r="I16" s="28">
        <f>COUNTIF(I3:I14,"High")</f>
        <v>1</v>
      </c>
      <c r="J16" s="3"/>
      <c r="K16" s="4"/>
      <c r="P16" s="26">
        <f>SUM(P3:P14)</f>
        <v>14805886900</v>
      </c>
      <c r="Q16" s="27">
        <f>COUNTIF(Q3:Q14,"Gain")</f>
        <v>9</v>
      </c>
      <c r="R16" s="28">
        <f>COUNTIF(R3:R14,"High")</f>
        <v>0</v>
      </c>
    </row>
    <row r="17" spans="1:15">
      <c r="A17" s="2" t="s">
        <v>8</v>
      </c>
      <c r="B17" s="1">
        <f>AVERAGE(B3:B14)</f>
        <v>203.09416666666667</v>
      </c>
      <c r="C17" s="1">
        <f>AVERAGE(C3:C14)</f>
        <v>216.51333333333332</v>
      </c>
      <c r="D17" s="1">
        <f t="shared" ref="D17" si="4">AVERAGE(D3:D14)</f>
        <v>196.10749999999999</v>
      </c>
      <c r="E17" s="1">
        <f>AVERAGE(E3:E14)</f>
        <v>208.96416666666667</v>
      </c>
      <c r="F17" s="1">
        <f>AVERAGE(F3:F14)</f>
        <v>207.52833333333334</v>
      </c>
      <c r="J17" s="2" t="s">
        <v>8</v>
      </c>
      <c r="K17" s="1">
        <f>AVERAGE(K3:K14)</f>
        <v>170.36583333333331</v>
      </c>
      <c r="L17" s="1">
        <f>AVERAGE(L3:L14)</f>
        <v>181.09333333333333</v>
      </c>
      <c r="M17" s="1">
        <f t="shared" ref="M17" si="5">AVERAGE(M3:M14)</f>
        <v>163.31916666666669</v>
      </c>
      <c r="N17" s="1">
        <f>AVERAGE(N3:N14)</f>
        <v>175.52333333333334</v>
      </c>
      <c r="O17" s="1">
        <f>AVERAGE(O3:O14)</f>
        <v>173.22916666666671</v>
      </c>
    </row>
    <row r="19" spans="1:15">
      <c r="H19" s="21" t="s">
        <v>16</v>
      </c>
      <c r="I19" s="22" t="s">
        <v>13</v>
      </c>
    </row>
    <row r="20" spans="1:15">
      <c r="H20" s="23">
        <v>0</v>
      </c>
      <c r="I20" s="19" t="s">
        <v>3</v>
      </c>
    </row>
    <row r="21" spans="1:15">
      <c r="H21" s="23">
        <f>_xlfn.QUARTILE.INC(G3:G14,1)</f>
        <v>1086479275</v>
      </c>
      <c r="I21" s="19" t="s">
        <v>14</v>
      </c>
    </row>
    <row r="22" spans="1:15">
      <c r="H22" s="23">
        <f>_xlfn.QUARTILE.INC(G3:G14,2)</f>
        <v>1174522150</v>
      </c>
      <c r="I22" s="19" t="s">
        <v>15</v>
      </c>
    </row>
    <row r="23" spans="1:15">
      <c r="H23" s="24">
        <f>_xlfn.QUARTILE.INC(G3:G14,4)</f>
        <v>1717952100</v>
      </c>
      <c r="I23" s="20" t="s">
        <v>2</v>
      </c>
    </row>
  </sheetData>
  <sortState xmlns:xlrd2="http://schemas.microsoft.com/office/spreadsheetml/2017/richdata2" ref="J3:P14">
    <sortCondition ref="J3:J14"/>
  </sortState>
  <mergeCells count="2">
    <mergeCell ref="A1:G1"/>
    <mergeCell ref="J1:P1"/>
  </mergeCells>
  <phoneticPr fontId="10" type="noConversion"/>
  <conditionalFormatting sqref="H3:H14 Q3:Q14">
    <cfRule type="containsText" dxfId="1" priority="1" operator="containsText" text="Gain">
      <formula>NOT(ISERROR(SEARCH("Gain",H3)))</formula>
    </cfRule>
    <cfRule type="containsText" dxfId="0" priority="2" operator="containsText" text="Loss">
      <formula>NOT(ISERROR(SEARCH("Loss",H3)))</formula>
    </cfRule>
  </conditionalFormatting>
  <pageMargins left="0.7" right="0.7" top="0.75" bottom="0.75" header="0.3" footer="0.3"/>
  <pageSetup scale="54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Baig_Apple</vt:lpstr>
      <vt:lpstr>Baig_Apple!Print_Area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Baig</dc:creator>
  <cp:lastModifiedBy>Mirza Baig</cp:lastModifiedBy>
  <cp:lastPrinted>2026-03-02T00:47:13Z</cp:lastPrinted>
  <dcterms:created xsi:type="dcterms:W3CDTF">2026-01-30T04:36:14Z</dcterms:created>
  <dcterms:modified xsi:type="dcterms:W3CDTF">2026-05-04T22:07:57Z</dcterms:modified>
</cp:coreProperties>
</file>